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Ремонт квартир" sheetId="1" state="visible" r:id="rId3"/>
    <sheet name="Строительство домов" sheetId="2" state="visible" r:id="rId4"/>
    <sheet name="Калькулятор для клиента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<sst xmlns="http://schemas.openxmlformats.org/spreadsheetml/2006/main" count="272" uniqueCount="168">
  <si>
    <t xml:space="preserve">ПРАЙС-ЛИСТ НА РЕМОНТНЫЕ РАБОТЫ — ГРОДНО 2025</t>
  </si>
  <si>
    <t xml:space="preserve">Курс USD:</t>
  </si>
  <si>
    <t xml:space="preserve">⚠️ Синие цены — редактируемые поля. Заполните своими расценками. Столбец F — примечания для сайта.</t>
  </si>
  <si>
    <t xml:space="preserve">№</t>
  </si>
  <si>
    <t xml:space="preserve">Наименование работ</t>
  </si>
  <si>
    <t xml:space="preserve">Ед. изм.</t>
  </si>
  <si>
    <t xml:space="preserve">Цена (BYN)</t>
  </si>
  <si>
    <t xml:space="preserve">Цена ($)</t>
  </si>
  <si>
    <t xml:space="preserve">Примечание для сайта</t>
  </si>
  <si>
    <t xml:space="preserve">ПОЛЫ</t>
  </si>
  <si>
    <t xml:space="preserve">Стяжка пола 3-5 см</t>
  </si>
  <si>
    <t xml:space="preserve">м²</t>
  </si>
  <si>
    <t xml:space="preserve">с маяками</t>
  </si>
  <si>
    <t xml:space="preserve">Выравнивание пола до 3 см</t>
  </si>
  <si>
    <t xml:space="preserve">Укладка ламината</t>
  </si>
  <si>
    <t xml:space="preserve">по диагонали +30%</t>
  </si>
  <si>
    <t xml:space="preserve">Укладка паркетной доски</t>
  </si>
  <si>
    <t xml:space="preserve">Укладка плитки на пол</t>
  </si>
  <si>
    <t xml:space="preserve">стандартный формат</t>
  </si>
  <si>
    <t xml:space="preserve">Укладка плитки крупноформатной</t>
  </si>
  <si>
    <t xml:space="preserve">от 60×60</t>
  </si>
  <si>
    <t xml:space="preserve">Укладка виниловой плитки</t>
  </si>
  <si>
    <t xml:space="preserve">Плинтус ПВХ с уголками</t>
  </si>
  <si>
    <t xml:space="preserve">м/п</t>
  </si>
  <si>
    <t xml:space="preserve">Плинтус МДФ/полиуретан без покраски</t>
  </si>
  <si>
    <t xml:space="preserve">Плинтус полиуретан с покраской</t>
  </si>
  <si>
    <t xml:space="preserve">Гидроизоляция жидкая</t>
  </si>
  <si>
    <t xml:space="preserve">Грунтовка пола</t>
  </si>
  <si>
    <t xml:space="preserve">Утепление (пенопласт/минвата)</t>
  </si>
  <si>
    <t xml:space="preserve">Демонтаж напольного покрытия</t>
  </si>
  <si>
    <t xml:space="preserve">СТЕНЫ</t>
  </si>
  <si>
    <t xml:space="preserve">Штукатурка стен до 1 см</t>
  </si>
  <si>
    <t xml:space="preserve">по маякам</t>
  </si>
  <si>
    <t xml:space="preserve">Штукатурка стен до 2 см</t>
  </si>
  <si>
    <t xml:space="preserve">Штукатурка стен от 2 см</t>
  </si>
  <si>
    <t xml:space="preserve">Шпаклёвка под обои</t>
  </si>
  <si>
    <t xml:space="preserve">Шпаклёвка под покраску</t>
  </si>
  <si>
    <t xml:space="preserve">2 слоя + шлифовка</t>
  </si>
  <si>
    <t xml:space="preserve">Покраска стен (2 слоя)</t>
  </si>
  <si>
    <t xml:space="preserve">Оклейка обоями</t>
  </si>
  <si>
    <t xml:space="preserve">виниловые/флизелиновые</t>
  </si>
  <si>
    <t xml:space="preserve">Облицовка плиткой стены</t>
  </si>
  <si>
    <t xml:space="preserve">Декоративная штукатурка</t>
  </si>
  <si>
    <t xml:space="preserve">от, зависит от типа</t>
  </si>
  <si>
    <t xml:space="preserve">Декоративный камень</t>
  </si>
  <si>
    <t xml:space="preserve">Монтаж гипсокартона (прямой)</t>
  </si>
  <si>
    <t xml:space="preserve">с каркасом</t>
  </si>
  <si>
    <t xml:space="preserve">Монтаж гипсокартона (криволинейный)</t>
  </si>
  <si>
    <t xml:space="preserve">Кладка перегородок из блоков</t>
  </si>
  <si>
    <t xml:space="preserve">Армирование стекловолокном/сеткой</t>
  </si>
  <si>
    <t xml:space="preserve">Установка маяков</t>
  </si>
  <si>
    <t xml:space="preserve">Грунтовка стен (1 слой)</t>
  </si>
  <si>
    <t xml:space="preserve">Демонтаж штукатурки/обоев</t>
  </si>
  <si>
    <t xml:space="preserve">ПОТОЛКИ</t>
  </si>
  <si>
    <t xml:space="preserve">Штукатурка потолка до 2 см</t>
  </si>
  <si>
    <t xml:space="preserve">Шпаклёвка потолка под покраску</t>
  </si>
  <si>
    <t xml:space="preserve">Покраска потолка (2 слоя)</t>
  </si>
  <si>
    <t xml:space="preserve">Монтаж ГКЛ потолок (1 уровень)</t>
  </si>
  <si>
    <t xml:space="preserve">Монтаж ГКЛ потолок (2 уровня)</t>
  </si>
  <si>
    <t xml:space="preserve">Монтаж натяжного потолка</t>
  </si>
  <si>
    <t xml:space="preserve">без материала</t>
  </si>
  <si>
    <t xml:space="preserve">Демонтаж потолочного покрытия</t>
  </si>
  <si>
    <t xml:space="preserve">ЭЛЕКТРИКА</t>
  </si>
  <si>
    <t xml:space="preserve">Штробление стен под кабель</t>
  </si>
  <si>
    <t xml:space="preserve">Прокладка кабеля в штробе</t>
  </si>
  <si>
    <t xml:space="preserve">Установка розетки/выключателя</t>
  </si>
  <si>
    <t xml:space="preserve">шт.</t>
  </si>
  <si>
    <t xml:space="preserve">с подрозетником</t>
  </si>
  <si>
    <t xml:space="preserve">Установка точечного светильника</t>
  </si>
  <si>
    <t xml:space="preserve">Установка люстры</t>
  </si>
  <si>
    <t xml:space="preserve">Монтаж щитка</t>
  </si>
  <si>
    <t xml:space="preserve">Подключение бытовой техники</t>
  </si>
  <si>
    <t xml:space="preserve">САНТЕХНИКА</t>
  </si>
  <si>
    <t xml:space="preserve">Установка ванны</t>
  </si>
  <si>
    <t xml:space="preserve">с подключением</t>
  </si>
  <si>
    <t xml:space="preserve">Установка душевой кабины</t>
  </si>
  <si>
    <t xml:space="preserve">Установка унитаза</t>
  </si>
  <si>
    <t xml:space="preserve">Установка раковины</t>
  </si>
  <si>
    <t xml:space="preserve">Установка смесителя</t>
  </si>
  <si>
    <t xml:space="preserve">Монтаж полотенцесушителя</t>
  </si>
  <si>
    <t xml:space="preserve">Разводка труб водоснабжения</t>
  </si>
  <si>
    <t xml:space="preserve">полипропилен</t>
  </si>
  <si>
    <t xml:space="preserve">Разводка канализации</t>
  </si>
  <si>
    <t xml:space="preserve">ДВЕРИ И ОКНА</t>
  </si>
  <si>
    <t xml:space="preserve">Установка межкомнатной двери</t>
  </si>
  <si>
    <t xml:space="preserve">с фурнитурой</t>
  </si>
  <si>
    <t xml:space="preserve">Установка входной двери</t>
  </si>
  <si>
    <t xml:space="preserve">Откосы оконные (штукатурка)</t>
  </si>
  <si>
    <t xml:space="preserve">Откосы оконные (пластик/ГКЛ)</t>
  </si>
  <si>
    <t xml:space="preserve">Установка подоконника</t>
  </si>
  <si>
    <t xml:space="preserve">ПРОЧЕЕ</t>
  </si>
  <si>
    <t xml:space="preserve">Вынос строительного мусора</t>
  </si>
  <si>
    <t xml:space="preserve">мешок</t>
  </si>
  <si>
    <t xml:space="preserve">Уборка после ремонта</t>
  </si>
  <si>
    <t xml:space="preserve">Грузоподъём материалов (без лифта)</t>
  </si>
  <si>
    <t xml:space="preserve">этаж</t>
  </si>
  <si>
    <t xml:space="preserve">за 100 кг</t>
  </si>
  <si>
    <t xml:space="preserve">ПРАЙС-ЛИСТ НА СТРОИТЕЛЬСТВО ДОМОВ — ГРОДНО 2025</t>
  </si>
  <si>
    <t xml:space="preserve">⚠️ Синие цены — редактируемые поля. Столбец E привязан к курсу на листе "Ремонт квартир".</t>
  </si>
  <si>
    <t xml:space="preserve">ФУНДАМЕНТ</t>
  </si>
  <si>
    <t xml:space="preserve">Разметка и земляные работы</t>
  </si>
  <si>
    <t xml:space="preserve">м³</t>
  </si>
  <si>
    <t xml:space="preserve">Устройство ленточного фундамента</t>
  </si>
  <si>
    <t xml:space="preserve">с армированием</t>
  </si>
  <si>
    <t xml:space="preserve">Устройство монолитной плиты</t>
  </si>
  <si>
    <t xml:space="preserve">толщина 200-300 мм</t>
  </si>
  <si>
    <t xml:space="preserve">Устройство свайного фундамента</t>
  </si>
  <si>
    <t xml:space="preserve">свая буронабивная</t>
  </si>
  <si>
    <t xml:space="preserve">Гидроизоляция фундамента</t>
  </si>
  <si>
    <t xml:space="preserve">Утепление фундамента</t>
  </si>
  <si>
    <t xml:space="preserve">ЭППС</t>
  </si>
  <si>
    <t xml:space="preserve">Обратная засыпка</t>
  </si>
  <si>
    <t xml:space="preserve">СТЕНЫ И КЛАДКА</t>
  </si>
  <si>
    <t xml:space="preserve">Кладка газосиликатных блоков</t>
  </si>
  <si>
    <t xml:space="preserve">Кладка керамзитобетонных блоков</t>
  </si>
  <si>
    <t xml:space="preserve">Кладка кирпичная</t>
  </si>
  <si>
    <t xml:space="preserve">Армопояс</t>
  </si>
  <si>
    <t xml:space="preserve">Перемычки оконные/дверные</t>
  </si>
  <si>
    <t xml:space="preserve">Утепление стен снаружи</t>
  </si>
  <si>
    <t xml:space="preserve">минвата/ЭППС</t>
  </si>
  <si>
    <t xml:space="preserve">КРОВЛЯ</t>
  </si>
  <si>
    <t xml:space="preserve">Монтаж стропильной системы</t>
  </si>
  <si>
    <t xml:space="preserve">Монтаж обрешётки</t>
  </si>
  <si>
    <t xml:space="preserve">Укладка металлочерепицы</t>
  </si>
  <si>
    <t xml:space="preserve">Укладка мягкой кровли</t>
  </si>
  <si>
    <t xml:space="preserve">Утепление кровли</t>
  </si>
  <si>
    <t xml:space="preserve">200 мм минвата</t>
  </si>
  <si>
    <t xml:space="preserve">Подшивка карнизов</t>
  </si>
  <si>
    <t xml:space="preserve">Водосточная система</t>
  </si>
  <si>
    <t xml:space="preserve">ПЕРЕКРЫТИЯ</t>
  </si>
  <si>
    <t xml:space="preserve">Монтаж деревянного перекрытия</t>
  </si>
  <si>
    <t xml:space="preserve">Монтаж ж/б плит перекрытия</t>
  </si>
  <si>
    <t xml:space="preserve">с краном</t>
  </si>
  <si>
    <t xml:space="preserve">Монолитное перекрытие</t>
  </si>
  <si>
    <t xml:space="preserve">с армированием и опалубкой</t>
  </si>
  <si>
    <t xml:space="preserve">ПАКЕТНЫЕ ПРЕДЛОЖЕНИЯ (ориентир)</t>
  </si>
  <si>
    <t xml:space="preserve">Каркасный дом — коробка</t>
  </si>
  <si>
    <t xml:space="preserve">от, без отделки</t>
  </si>
  <si>
    <t xml:space="preserve">Дом из блоков — коробка</t>
  </si>
  <si>
    <t xml:space="preserve">Дом из блоков — под ключ</t>
  </si>
  <si>
    <t xml:space="preserve">от, с отделкой</t>
  </si>
  <si>
    <t xml:space="preserve">Кирпичный дом — коробка</t>
  </si>
  <si>
    <t xml:space="preserve">Кирпичный дом — под ключ</t>
  </si>
  <si>
    <t xml:space="preserve">БЫСТРЫЙ КАЛЬКУЛЯТОР СТОИМОСТИ РЕМОНТА</t>
  </si>
  <si>
    <t xml:space="preserve">⚠️ Заполните жёлтые ячейки — итог рассчитается автоматически</t>
  </si>
  <si>
    <t xml:space="preserve">ПАРАМЕТРЫ ОБЪЕКТА</t>
  </si>
  <si>
    <t xml:space="preserve">Площадь квартиры, м²</t>
  </si>
  <si>
    <t xml:space="preserve">Высота потолков, м</t>
  </si>
  <si>
    <t xml:space="preserve">Количество комнат</t>
  </si>
  <si>
    <t xml:space="preserve">Санузлов</t>
  </si>
  <si>
    <t xml:space="preserve">РАСЧЁТНЫЕ ПЛОЩАДИ</t>
  </si>
  <si>
    <t xml:space="preserve">Площадь стен (приблиз.), м²</t>
  </si>
  <si>
    <t xml:space="preserve">Площадь потолка, м²</t>
  </si>
  <si>
    <t xml:space="preserve">Площадь пола, м²</t>
  </si>
  <si>
    <t xml:space="preserve">Работы (типовой набор)</t>
  </si>
  <si>
    <t xml:space="preserve">Объём</t>
  </si>
  <si>
    <t xml:space="preserve">Цена/ед.</t>
  </si>
  <si>
    <t xml:space="preserve">Сумма BYN</t>
  </si>
  <si>
    <t xml:space="preserve">Сумма $</t>
  </si>
  <si>
    <t xml:space="preserve">Шпаклёвка стен под покраску</t>
  </si>
  <si>
    <t xml:space="preserve">Шпаклёвка потолка</t>
  </si>
  <si>
    <t xml:space="preserve">Покраска потолка</t>
  </si>
  <si>
    <t xml:space="preserve">Электрика (10 точек)</t>
  </si>
  <si>
    <t xml:space="preserve">Сантехника (базовый комплект)</t>
  </si>
  <si>
    <t xml:space="preserve">Межкомнатные двери</t>
  </si>
  <si>
    <t xml:space="preserve">ИТОГО РАБОТЫ:</t>
  </si>
  <si>
    <t xml:space="preserve">Наценка компании (%):</t>
  </si>
  <si>
    <t xml:space="preserve">ИТОГО С НАЦЕНКОЙ: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</si>
</sst>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.00"/>
    <numFmt numFmtId="166" formatCode="#,##0.00"/>
    <numFmt numFmtId="167" formatCode="#,##0.0"/>
    <numFmt numFmtId="168" formatCode="0%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2"/>
      <color rgb="FF0000FF"/>
      <name val="Arial"/>
      <family val="0"/>
      <charset val="1"/>
    </font>
    <font>
      <i val="true"/>
      <sz val="9"/>
      <color rgb="FF888888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2"/>
      <color rgb="FFC0392B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2C3E50"/>
        <bgColor rgb="FF34495E"/>
      </patternFill>
    </fill>
    <fill>
      <patternFill patternType="solid">
        <fgColor rgb="FFFFF3CD"/>
        <bgColor rgb="FFF8F9FA"/>
      </patternFill>
    </fill>
    <fill>
      <patternFill patternType="solid">
        <fgColor rgb="FF5D6D7E"/>
        <bgColor rgb="FF888888"/>
      </patternFill>
    </fill>
    <fill>
      <patternFill patternType="solid">
        <fgColor rgb="FF34495E"/>
        <bgColor rgb="FF2C3E50"/>
      </patternFill>
    </fill>
    <fill>
      <patternFill patternType="solid">
        <fgColor rgb="FFFFFFFF"/>
        <bgColor rgb="FFF8F9FA"/>
      </patternFill>
    </fill>
    <fill>
      <patternFill patternType="solid">
        <fgColor rgb="FFF8F9FA"/>
        <bgColor rgb="FFFFFFFF"/>
      </patternFill>
    </fill>
    <fill>
      <patternFill patternType="solid">
        <fgColor rgb="FFD5F5E3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5D8DC"/>
      </left>
      <right style="thin">
        <color rgb="FFD5D8DC"/>
      </right>
      <top style="thin">
        <color rgb="FFD5D8DC"/>
      </top>
      <bottom style="thin">
        <color rgb="FFD5D8D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11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0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11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0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0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0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2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1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3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88888"/>
      <rgbColor rgb="FF9999FF"/>
      <rgbColor rgb="FF993366"/>
      <rgbColor rgb="FFFFF3CD"/>
      <rgbColor rgb="FFF8F9FA"/>
      <rgbColor rgb="FF660066"/>
      <rgbColor rgb="FFFF8080"/>
      <rgbColor rgb="FF0066CC"/>
      <rgbColor rgb="FFD5D8D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5F5E3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D6D7E"/>
      <rgbColor rgb="FF969696"/>
      <rgbColor rgb="FF003366"/>
      <rgbColor rgb="FF339966"/>
      <rgbColor rgb="FF003300"/>
      <rgbColor rgb="FF333300"/>
      <rgbColor rgb="FFC0392B"/>
      <rgbColor rgb="FF993366"/>
      <rgbColor rgb="FF34495E"/>
      <rgbColor rgb="FF2C3E5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7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50"/>
    <col collapsed="false" customWidth="true" hidden="false" outlineLevel="0" max="3" min="3" style="0" width="12"/>
    <col collapsed="false" customWidth="true" hidden="false" outlineLevel="0" max="5" min="4" style="0" width="18"/>
    <col collapsed="false" customWidth="true" hidden="false" outlineLevel="0" max="6" min="6" style="0" width="25"/>
  </cols>
  <sheetData>
    <row r="1" customFormat="false" ht="39.75" hidden="false" customHeight="true" outlineLevel="0" collapsed="false">
      <c r="A1" s="1" t="s">
        <v>0</v>
      </c>
      <c r="B1" s="1"/>
      <c r="C1" s="1"/>
      <c r="D1" s="1"/>
      <c r="E1" s="1"/>
      <c r="F1" s="1"/>
      <c r="H1" s="2" t="s">
        <v>1</v>
      </c>
      <c r="I1" s="3" t="n">
        <v>3.05</v>
      </c>
    </row>
    <row r="2" customFormat="false" ht="24.75" hidden="false" customHeight="true" outlineLevel="0" collapsed="false">
      <c r="A2" s="4" t="s">
        <v>2</v>
      </c>
      <c r="B2" s="4"/>
      <c r="C2" s="4"/>
      <c r="D2" s="4"/>
      <c r="E2" s="4"/>
      <c r="F2" s="4"/>
    </row>
    <row r="3" customFormat="false" ht="30" hidden="false" customHeight="true" outlineLevel="0" collapsed="false">
      <c r="A3" s="5" t="s">
        <v>3</v>
      </c>
      <c r="B3" s="5" t="s">
        <v>4</v>
      </c>
      <c r="C3" s="5" t="s">
        <v>5</v>
      </c>
      <c r="D3" s="5" t="s">
        <v>6</v>
      </c>
      <c r="E3" s="5" t="s">
        <v>7</v>
      </c>
      <c r="F3" s="5" t="s">
        <v>8</v>
      </c>
    </row>
    <row r="4" customFormat="false" ht="27.75" hidden="false" customHeight="true" outlineLevel="0" collapsed="false">
      <c r="A4" s="6" t="s">
        <v>9</v>
      </c>
      <c r="B4" s="6"/>
      <c r="C4" s="6"/>
      <c r="D4" s="6"/>
      <c r="E4" s="6"/>
      <c r="F4" s="6"/>
    </row>
    <row r="5" customFormat="false" ht="15" hidden="false" customHeight="false" outlineLevel="0" collapsed="false">
      <c r="A5" s="7" t="n">
        <v>1</v>
      </c>
      <c r="B5" s="8" t="s">
        <v>10</v>
      </c>
      <c r="C5" s="7" t="s">
        <v>11</v>
      </c>
      <c r="D5" s="9" t="n">
        <v>18</v>
      </c>
      <c r="E5" s="10" t="n">
        <f aca="false">D5/$I$1</f>
        <v>5.9016393442623</v>
      </c>
      <c r="F5" s="11" t="s">
        <v>12</v>
      </c>
    </row>
    <row r="6" customFormat="false" ht="15" hidden="false" customHeight="false" outlineLevel="0" collapsed="false">
      <c r="A6" s="12" t="n">
        <v>2</v>
      </c>
      <c r="B6" s="13" t="s">
        <v>13</v>
      </c>
      <c r="C6" s="12" t="s">
        <v>11</v>
      </c>
      <c r="D6" s="14" t="n">
        <v>12</v>
      </c>
      <c r="E6" s="15" t="n">
        <f aca="false">D6/$I$1</f>
        <v>3.9344262295082</v>
      </c>
      <c r="F6" s="16"/>
    </row>
    <row r="7" customFormat="false" ht="15" hidden="false" customHeight="false" outlineLevel="0" collapsed="false">
      <c r="A7" s="7" t="n">
        <v>3</v>
      </c>
      <c r="B7" s="8" t="s">
        <v>14</v>
      </c>
      <c r="C7" s="7" t="s">
        <v>11</v>
      </c>
      <c r="D7" s="9" t="n">
        <v>7</v>
      </c>
      <c r="E7" s="10" t="n">
        <f aca="false">D7/$I$1</f>
        <v>2.29508196721312</v>
      </c>
      <c r="F7" s="11" t="s">
        <v>15</v>
      </c>
    </row>
    <row r="8" customFormat="false" ht="15" hidden="false" customHeight="false" outlineLevel="0" collapsed="false">
      <c r="A8" s="12" t="n">
        <v>4</v>
      </c>
      <c r="B8" s="13" t="s">
        <v>16</v>
      </c>
      <c r="C8" s="12" t="s">
        <v>11</v>
      </c>
      <c r="D8" s="14" t="n">
        <v>10</v>
      </c>
      <c r="E8" s="15" t="n">
        <f aca="false">D8/$I$1</f>
        <v>3.27868852459016</v>
      </c>
      <c r="F8" s="16"/>
    </row>
    <row r="9" customFormat="false" ht="15" hidden="false" customHeight="false" outlineLevel="0" collapsed="false">
      <c r="A9" s="7" t="n">
        <v>5</v>
      </c>
      <c r="B9" s="8" t="s">
        <v>17</v>
      </c>
      <c r="C9" s="7" t="s">
        <v>11</v>
      </c>
      <c r="D9" s="9" t="n">
        <v>27</v>
      </c>
      <c r="E9" s="10" t="n">
        <f aca="false">D9/$I$1</f>
        <v>8.85245901639344</v>
      </c>
      <c r="F9" s="11" t="s">
        <v>18</v>
      </c>
    </row>
    <row r="10" customFormat="false" ht="15" hidden="false" customHeight="false" outlineLevel="0" collapsed="false">
      <c r="A10" s="12" t="n">
        <v>6</v>
      </c>
      <c r="B10" s="13" t="s">
        <v>19</v>
      </c>
      <c r="C10" s="12" t="s">
        <v>11</v>
      </c>
      <c r="D10" s="14" t="n">
        <v>36</v>
      </c>
      <c r="E10" s="15" t="n">
        <f aca="false">D10/$I$1</f>
        <v>11.8032786885246</v>
      </c>
      <c r="F10" s="16" t="s">
        <v>20</v>
      </c>
    </row>
    <row r="11" customFormat="false" ht="15" hidden="false" customHeight="false" outlineLevel="0" collapsed="false">
      <c r="A11" s="7" t="n">
        <v>7</v>
      </c>
      <c r="B11" s="8" t="s">
        <v>21</v>
      </c>
      <c r="C11" s="7" t="s">
        <v>11</v>
      </c>
      <c r="D11" s="9" t="n">
        <v>15</v>
      </c>
      <c r="E11" s="10" t="n">
        <f aca="false">D11/$I$1</f>
        <v>4.91803278688525</v>
      </c>
      <c r="F11" s="11"/>
    </row>
    <row r="12" customFormat="false" ht="15" hidden="false" customHeight="false" outlineLevel="0" collapsed="false">
      <c r="A12" s="12" t="n">
        <v>8</v>
      </c>
      <c r="B12" s="13" t="s">
        <v>22</v>
      </c>
      <c r="C12" s="12" t="s">
        <v>23</v>
      </c>
      <c r="D12" s="14" t="n">
        <v>6</v>
      </c>
      <c r="E12" s="15" t="n">
        <f aca="false">D12/$I$1</f>
        <v>1.9672131147541</v>
      </c>
      <c r="F12" s="16"/>
    </row>
    <row r="13" customFormat="false" ht="15" hidden="false" customHeight="false" outlineLevel="0" collapsed="false">
      <c r="A13" s="7" t="n">
        <v>9</v>
      </c>
      <c r="B13" s="8" t="s">
        <v>24</v>
      </c>
      <c r="C13" s="7" t="s">
        <v>23</v>
      </c>
      <c r="D13" s="9" t="n">
        <v>18</v>
      </c>
      <c r="E13" s="10" t="n">
        <f aca="false">D13/$I$1</f>
        <v>5.9016393442623</v>
      </c>
      <c r="F13" s="11"/>
    </row>
    <row r="14" customFormat="false" ht="15" hidden="false" customHeight="false" outlineLevel="0" collapsed="false">
      <c r="A14" s="12" t="n">
        <v>10</v>
      </c>
      <c r="B14" s="13" t="s">
        <v>25</v>
      </c>
      <c r="C14" s="12" t="s">
        <v>23</v>
      </c>
      <c r="D14" s="14" t="n">
        <v>24</v>
      </c>
      <c r="E14" s="15" t="n">
        <f aca="false">D14/$I$1</f>
        <v>7.86885245901639</v>
      </c>
      <c r="F14" s="16"/>
    </row>
    <row r="15" customFormat="false" ht="15" hidden="false" customHeight="false" outlineLevel="0" collapsed="false">
      <c r="A15" s="7" t="n">
        <v>11</v>
      </c>
      <c r="B15" s="8" t="s">
        <v>26</v>
      </c>
      <c r="C15" s="7" t="s">
        <v>11</v>
      </c>
      <c r="D15" s="9" t="n">
        <v>9</v>
      </c>
      <c r="E15" s="10" t="n">
        <f aca="false">D15/$I$1</f>
        <v>2.95081967213115</v>
      </c>
      <c r="F15" s="11"/>
    </row>
    <row r="16" customFormat="false" ht="15" hidden="false" customHeight="false" outlineLevel="0" collapsed="false">
      <c r="A16" s="12" t="n">
        <v>12</v>
      </c>
      <c r="B16" s="13" t="s">
        <v>27</v>
      </c>
      <c r="C16" s="12" t="s">
        <v>11</v>
      </c>
      <c r="D16" s="14" t="n">
        <v>1.5</v>
      </c>
      <c r="E16" s="15" t="n">
        <f aca="false">D16/$I$1</f>
        <v>0.491803278688525</v>
      </c>
      <c r="F16" s="16"/>
    </row>
    <row r="17" customFormat="false" ht="15" hidden="false" customHeight="false" outlineLevel="0" collapsed="false">
      <c r="A17" s="7" t="n">
        <v>13</v>
      </c>
      <c r="B17" s="8" t="s">
        <v>28</v>
      </c>
      <c r="C17" s="7" t="s">
        <v>11</v>
      </c>
      <c r="D17" s="9" t="n">
        <v>6</v>
      </c>
      <c r="E17" s="10" t="n">
        <f aca="false">D17/$I$1</f>
        <v>1.9672131147541</v>
      </c>
      <c r="F17" s="11"/>
    </row>
    <row r="18" customFormat="false" ht="15" hidden="false" customHeight="false" outlineLevel="0" collapsed="false">
      <c r="A18" s="12" t="n">
        <v>14</v>
      </c>
      <c r="B18" s="13" t="s">
        <v>29</v>
      </c>
      <c r="C18" s="12" t="s">
        <v>11</v>
      </c>
      <c r="D18" s="14" t="n">
        <v>6</v>
      </c>
      <c r="E18" s="15" t="n">
        <f aca="false">D18/$I$1</f>
        <v>1.9672131147541</v>
      </c>
      <c r="F18" s="16"/>
    </row>
    <row r="19" customFormat="false" ht="27.75" hidden="false" customHeight="true" outlineLevel="0" collapsed="false">
      <c r="A19" s="6" t="s">
        <v>30</v>
      </c>
      <c r="B19" s="6"/>
      <c r="C19" s="6"/>
      <c r="D19" s="6"/>
      <c r="E19" s="6"/>
      <c r="F19" s="6"/>
    </row>
    <row r="20" customFormat="false" ht="15" hidden="false" customHeight="false" outlineLevel="0" collapsed="false">
      <c r="A20" s="7" t="n">
        <v>15</v>
      </c>
      <c r="B20" s="8" t="s">
        <v>31</v>
      </c>
      <c r="C20" s="7" t="s">
        <v>11</v>
      </c>
      <c r="D20" s="9" t="n">
        <v>15</v>
      </c>
      <c r="E20" s="10" t="n">
        <f aca="false">D20/$I$1</f>
        <v>4.91803278688525</v>
      </c>
      <c r="F20" s="11" t="s">
        <v>32</v>
      </c>
    </row>
    <row r="21" customFormat="false" ht="15" hidden="false" customHeight="false" outlineLevel="0" collapsed="false">
      <c r="A21" s="12" t="n">
        <v>16</v>
      </c>
      <c r="B21" s="13" t="s">
        <v>33</v>
      </c>
      <c r="C21" s="12" t="s">
        <v>11</v>
      </c>
      <c r="D21" s="14" t="n">
        <v>18</v>
      </c>
      <c r="E21" s="15" t="n">
        <f aca="false">D21/$I$1</f>
        <v>5.9016393442623</v>
      </c>
      <c r="F21" s="16" t="s">
        <v>32</v>
      </c>
    </row>
    <row r="22" customFormat="false" ht="15" hidden="false" customHeight="false" outlineLevel="0" collapsed="false">
      <c r="A22" s="7" t="n">
        <v>17</v>
      </c>
      <c r="B22" s="8" t="s">
        <v>34</v>
      </c>
      <c r="C22" s="7" t="s">
        <v>11</v>
      </c>
      <c r="D22" s="9" t="n">
        <v>21</v>
      </c>
      <c r="E22" s="10" t="n">
        <f aca="false">D22/$I$1</f>
        <v>6.88524590163935</v>
      </c>
      <c r="F22" s="11" t="s">
        <v>32</v>
      </c>
    </row>
    <row r="23" customFormat="false" ht="15" hidden="false" customHeight="false" outlineLevel="0" collapsed="false">
      <c r="A23" s="12" t="n">
        <v>18</v>
      </c>
      <c r="B23" s="13" t="s">
        <v>35</v>
      </c>
      <c r="C23" s="12" t="s">
        <v>11</v>
      </c>
      <c r="D23" s="14" t="n">
        <v>6</v>
      </c>
      <c r="E23" s="15" t="n">
        <f aca="false">D23/$I$1</f>
        <v>1.9672131147541</v>
      </c>
      <c r="F23" s="16"/>
    </row>
    <row r="24" customFormat="false" ht="15" hidden="false" customHeight="false" outlineLevel="0" collapsed="false">
      <c r="A24" s="7" t="n">
        <v>19</v>
      </c>
      <c r="B24" s="8" t="s">
        <v>36</v>
      </c>
      <c r="C24" s="7" t="s">
        <v>11</v>
      </c>
      <c r="D24" s="9" t="n">
        <v>12</v>
      </c>
      <c r="E24" s="10" t="n">
        <f aca="false">D24/$I$1</f>
        <v>3.9344262295082</v>
      </c>
      <c r="F24" s="11" t="s">
        <v>37</v>
      </c>
    </row>
    <row r="25" customFormat="false" ht="15" hidden="false" customHeight="false" outlineLevel="0" collapsed="false">
      <c r="A25" s="12" t="n">
        <v>20</v>
      </c>
      <c r="B25" s="13" t="s">
        <v>38</v>
      </c>
      <c r="C25" s="12" t="s">
        <v>11</v>
      </c>
      <c r="D25" s="14" t="n">
        <v>9</v>
      </c>
      <c r="E25" s="15" t="n">
        <f aca="false">D25/$I$1</f>
        <v>2.95081967213115</v>
      </c>
      <c r="F25" s="16"/>
    </row>
    <row r="26" customFormat="false" ht="15" hidden="false" customHeight="false" outlineLevel="0" collapsed="false">
      <c r="A26" s="7" t="n">
        <v>21</v>
      </c>
      <c r="B26" s="8" t="s">
        <v>39</v>
      </c>
      <c r="C26" s="7" t="s">
        <v>11</v>
      </c>
      <c r="D26" s="9" t="n">
        <v>6</v>
      </c>
      <c r="E26" s="10" t="n">
        <f aca="false">D26/$I$1</f>
        <v>1.9672131147541</v>
      </c>
      <c r="F26" s="11" t="s">
        <v>40</v>
      </c>
    </row>
    <row r="27" customFormat="false" ht="15" hidden="false" customHeight="false" outlineLevel="0" collapsed="false">
      <c r="A27" s="12" t="n">
        <v>22</v>
      </c>
      <c r="B27" s="13" t="s">
        <v>41</v>
      </c>
      <c r="C27" s="12" t="s">
        <v>11</v>
      </c>
      <c r="D27" s="14" t="n">
        <v>30</v>
      </c>
      <c r="E27" s="15" t="n">
        <f aca="false">D27/$I$1</f>
        <v>9.83606557377049</v>
      </c>
      <c r="F27" s="16"/>
    </row>
    <row r="28" customFormat="false" ht="15" hidden="false" customHeight="false" outlineLevel="0" collapsed="false">
      <c r="A28" s="7" t="n">
        <v>23</v>
      </c>
      <c r="B28" s="8" t="s">
        <v>42</v>
      </c>
      <c r="C28" s="7" t="s">
        <v>11</v>
      </c>
      <c r="D28" s="9" t="n">
        <v>24</v>
      </c>
      <c r="E28" s="10" t="n">
        <f aca="false">D28/$I$1</f>
        <v>7.86885245901639</v>
      </c>
      <c r="F28" s="11" t="s">
        <v>43</v>
      </c>
    </row>
    <row r="29" customFormat="false" ht="15" hidden="false" customHeight="false" outlineLevel="0" collapsed="false">
      <c r="A29" s="12" t="n">
        <v>24</v>
      </c>
      <c r="B29" s="13" t="s">
        <v>44</v>
      </c>
      <c r="C29" s="12" t="s">
        <v>11</v>
      </c>
      <c r="D29" s="14" t="n">
        <v>36</v>
      </c>
      <c r="E29" s="15" t="n">
        <f aca="false">D29/$I$1</f>
        <v>11.8032786885246</v>
      </c>
      <c r="F29" s="16"/>
    </row>
    <row r="30" customFormat="false" ht="15" hidden="false" customHeight="false" outlineLevel="0" collapsed="false">
      <c r="A30" s="7" t="n">
        <v>25</v>
      </c>
      <c r="B30" s="8" t="s">
        <v>45</v>
      </c>
      <c r="C30" s="7" t="s">
        <v>11</v>
      </c>
      <c r="D30" s="9" t="n">
        <v>21</v>
      </c>
      <c r="E30" s="10" t="n">
        <f aca="false">D30/$I$1</f>
        <v>6.88524590163935</v>
      </c>
      <c r="F30" s="11" t="s">
        <v>46</v>
      </c>
    </row>
    <row r="31" customFormat="false" ht="15" hidden="false" customHeight="false" outlineLevel="0" collapsed="false">
      <c r="A31" s="12" t="n">
        <v>26</v>
      </c>
      <c r="B31" s="13" t="s">
        <v>47</v>
      </c>
      <c r="C31" s="12" t="s">
        <v>11</v>
      </c>
      <c r="D31" s="14" t="n">
        <v>30</v>
      </c>
      <c r="E31" s="15" t="n">
        <f aca="false">D31/$I$1</f>
        <v>9.83606557377049</v>
      </c>
      <c r="F31" s="16"/>
    </row>
    <row r="32" customFormat="false" ht="15" hidden="false" customHeight="false" outlineLevel="0" collapsed="false">
      <c r="A32" s="7" t="n">
        <v>27</v>
      </c>
      <c r="B32" s="8" t="s">
        <v>48</v>
      </c>
      <c r="C32" s="7" t="s">
        <v>11</v>
      </c>
      <c r="D32" s="9" t="n">
        <v>48</v>
      </c>
      <c r="E32" s="10" t="n">
        <f aca="false">D32/$I$1</f>
        <v>15.7377049180328</v>
      </c>
      <c r="F32" s="11"/>
    </row>
    <row r="33" customFormat="false" ht="15" hidden="false" customHeight="false" outlineLevel="0" collapsed="false">
      <c r="A33" s="12" t="n">
        <v>28</v>
      </c>
      <c r="B33" s="13" t="s">
        <v>49</v>
      </c>
      <c r="C33" s="12" t="s">
        <v>11</v>
      </c>
      <c r="D33" s="14" t="n">
        <v>6</v>
      </c>
      <c r="E33" s="15" t="n">
        <f aca="false">D33/$I$1</f>
        <v>1.9672131147541</v>
      </c>
      <c r="F33" s="16"/>
    </row>
    <row r="34" customFormat="false" ht="15" hidden="false" customHeight="false" outlineLevel="0" collapsed="false">
      <c r="A34" s="7" t="n">
        <v>29</v>
      </c>
      <c r="B34" s="8" t="s">
        <v>50</v>
      </c>
      <c r="C34" s="7" t="s">
        <v>23</v>
      </c>
      <c r="D34" s="9" t="n">
        <v>6</v>
      </c>
      <c r="E34" s="10" t="n">
        <f aca="false">D34/$I$1</f>
        <v>1.9672131147541</v>
      </c>
      <c r="F34" s="11"/>
    </row>
    <row r="35" customFormat="false" ht="15" hidden="false" customHeight="false" outlineLevel="0" collapsed="false">
      <c r="A35" s="12" t="n">
        <v>30</v>
      </c>
      <c r="B35" s="13" t="s">
        <v>51</v>
      </c>
      <c r="C35" s="12" t="s">
        <v>11</v>
      </c>
      <c r="D35" s="14" t="n">
        <v>1.5</v>
      </c>
      <c r="E35" s="15" t="n">
        <f aca="false">D35/$I$1</f>
        <v>0.491803278688525</v>
      </c>
      <c r="F35" s="16"/>
    </row>
    <row r="36" customFormat="false" ht="15" hidden="false" customHeight="false" outlineLevel="0" collapsed="false">
      <c r="A36" s="7" t="n">
        <v>31</v>
      </c>
      <c r="B36" s="8" t="s">
        <v>52</v>
      </c>
      <c r="C36" s="7" t="s">
        <v>11</v>
      </c>
      <c r="D36" s="9" t="n">
        <v>6</v>
      </c>
      <c r="E36" s="10" t="n">
        <f aca="false">D36/$I$1</f>
        <v>1.9672131147541</v>
      </c>
      <c r="F36" s="11"/>
    </row>
    <row r="37" customFormat="false" ht="27.75" hidden="false" customHeight="true" outlineLevel="0" collapsed="false">
      <c r="A37" s="6" t="s">
        <v>53</v>
      </c>
      <c r="B37" s="6"/>
      <c r="C37" s="6"/>
      <c r="D37" s="6"/>
      <c r="E37" s="6"/>
      <c r="F37" s="6"/>
    </row>
    <row r="38" customFormat="false" ht="15" hidden="false" customHeight="false" outlineLevel="0" collapsed="false">
      <c r="A38" s="12" t="n">
        <v>32</v>
      </c>
      <c r="B38" s="13" t="s">
        <v>54</v>
      </c>
      <c r="C38" s="12" t="s">
        <v>11</v>
      </c>
      <c r="D38" s="14" t="n">
        <v>24</v>
      </c>
      <c r="E38" s="15" t="n">
        <f aca="false">D38/$I$1</f>
        <v>7.86885245901639</v>
      </c>
      <c r="F38" s="16" t="s">
        <v>32</v>
      </c>
    </row>
    <row r="39" customFormat="false" ht="15" hidden="false" customHeight="false" outlineLevel="0" collapsed="false">
      <c r="A39" s="7" t="n">
        <v>33</v>
      </c>
      <c r="B39" s="8" t="s">
        <v>55</v>
      </c>
      <c r="C39" s="7" t="s">
        <v>11</v>
      </c>
      <c r="D39" s="9" t="n">
        <v>15</v>
      </c>
      <c r="E39" s="10" t="n">
        <f aca="false">D39/$I$1</f>
        <v>4.91803278688525</v>
      </c>
      <c r="F39" s="11"/>
    </row>
    <row r="40" customFormat="false" ht="15" hidden="false" customHeight="false" outlineLevel="0" collapsed="false">
      <c r="A40" s="12" t="n">
        <v>34</v>
      </c>
      <c r="B40" s="13" t="s">
        <v>56</v>
      </c>
      <c r="C40" s="12" t="s">
        <v>11</v>
      </c>
      <c r="D40" s="14" t="n">
        <v>9</v>
      </c>
      <c r="E40" s="15" t="n">
        <f aca="false">D40/$I$1</f>
        <v>2.95081967213115</v>
      </c>
      <c r="F40" s="16"/>
    </row>
    <row r="41" customFormat="false" ht="15" hidden="false" customHeight="false" outlineLevel="0" collapsed="false">
      <c r="A41" s="7" t="n">
        <v>35</v>
      </c>
      <c r="B41" s="8" t="s">
        <v>57</v>
      </c>
      <c r="C41" s="7" t="s">
        <v>11</v>
      </c>
      <c r="D41" s="9" t="n">
        <v>24</v>
      </c>
      <c r="E41" s="10" t="n">
        <f aca="false">D41/$I$1</f>
        <v>7.86885245901639</v>
      </c>
      <c r="F41" s="11" t="s">
        <v>46</v>
      </c>
    </row>
    <row r="42" customFormat="false" ht="15" hidden="false" customHeight="false" outlineLevel="0" collapsed="false">
      <c r="A42" s="12" t="n">
        <v>36</v>
      </c>
      <c r="B42" s="13" t="s">
        <v>58</v>
      </c>
      <c r="C42" s="12" t="s">
        <v>11</v>
      </c>
      <c r="D42" s="14" t="n">
        <v>36</v>
      </c>
      <c r="E42" s="15" t="n">
        <f aca="false">D42/$I$1</f>
        <v>11.8032786885246</v>
      </c>
      <c r="F42" s="16"/>
    </row>
    <row r="43" customFormat="false" ht="15" hidden="false" customHeight="false" outlineLevel="0" collapsed="false">
      <c r="A43" s="7" t="n">
        <v>37</v>
      </c>
      <c r="B43" s="8" t="s">
        <v>59</v>
      </c>
      <c r="C43" s="7" t="s">
        <v>11</v>
      </c>
      <c r="D43" s="9" t="n">
        <v>18</v>
      </c>
      <c r="E43" s="10" t="n">
        <f aca="false">D43/$I$1</f>
        <v>5.9016393442623</v>
      </c>
      <c r="F43" s="11" t="s">
        <v>60</v>
      </c>
    </row>
    <row r="44" customFormat="false" ht="15" hidden="false" customHeight="false" outlineLevel="0" collapsed="false">
      <c r="A44" s="12" t="n">
        <v>38</v>
      </c>
      <c r="B44" s="13" t="s">
        <v>61</v>
      </c>
      <c r="C44" s="12" t="s">
        <v>11</v>
      </c>
      <c r="D44" s="14" t="n">
        <v>6</v>
      </c>
      <c r="E44" s="15" t="n">
        <f aca="false">D44/$I$1</f>
        <v>1.9672131147541</v>
      </c>
      <c r="F44" s="16"/>
    </row>
    <row r="45" customFormat="false" ht="27.75" hidden="false" customHeight="true" outlineLevel="0" collapsed="false">
      <c r="A45" s="6" t="s">
        <v>62</v>
      </c>
      <c r="B45" s="6"/>
      <c r="C45" s="6"/>
      <c r="D45" s="6"/>
      <c r="E45" s="6"/>
      <c r="F45" s="6"/>
    </row>
    <row r="46" customFormat="false" ht="15" hidden="false" customHeight="false" outlineLevel="0" collapsed="false">
      <c r="A46" s="7" t="n">
        <v>39</v>
      </c>
      <c r="B46" s="8" t="s">
        <v>63</v>
      </c>
      <c r="C46" s="7" t="s">
        <v>23</v>
      </c>
      <c r="D46" s="9" t="n">
        <v>9</v>
      </c>
      <c r="E46" s="10" t="n">
        <f aca="false">D46/$I$1</f>
        <v>2.95081967213115</v>
      </c>
      <c r="F46" s="11"/>
    </row>
    <row r="47" customFormat="false" ht="15" hidden="false" customHeight="false" outlineLevel="0" collapsed="false">
      <c r="A47" s="12" t="n">
        <v>40</v>
      </c>
      <c r="B47" s="13" t="s">
        <v>64</v>
      </c>
      <c r="C47" s="12" t="s">
        <v>23</v>
      </c>
      <c r="D47" s="14" t="n">
        <v>6</v>
      </c>
      <c r="E47" s="15" t="n">
        <f aca="false">D47/$I$1</f>
        <v>1.9672131147541</v>
      </c>
      <c r="F47" s="16"/>
    </row>
    <row r="48" customFormat="false" ht="15" hidden="false" customHeight="false" outlineLevel="0" collapsed="false">
      <c r="A48" s="7" t="n">
        <v>41</v>
      </c>
      <c r="B48" s="8" t="s">
        <v>65</v>
      </c>
      <c r="C48" s="7" t="s">
        <v>66</v>
      </c>
      <c r="D48" s="9" t="n">
        <v>30</v>
      </c>
      <c r="E48" s="10" t="n">
        <f aca="false">D48/$I$1</f>
        <v>9.83606557377049</v>
      </c>
      <c r="F48" s="11" t="s">
        <v>67</v>
      </c>
    </row>
    <row r="49" customFormat="false" ht="15" hidden="false" customHeight="false" outlineLevel="0" collapsed="false">
      <c r="A49" s="12" t="n">
        <v>42</v>
      </c>
      <c r="B49" s="13" t="s">
        <v>68</v>
      </c>
      <c r="C49" s="12" t="s">
        <v>66</v>
      </c>
      <c r="D49" s="14" t="n">
        <v>18</v>
      </c>
      <c r="E49" s="15" t="n">
        <f aca="false">D49/$I$1</f>
        <v>5.9016393442623</v>
      </c>
      <c r="F49" s="16"/>
    </row>
    <row r="50" customFormat="false" ht="15" hidden="false" customHeight="false" outlineLevel="0" collapsed="false">
      <c r="A50" s="7" t="n">
        <v>43</v>
      </c>
      <c r="B50" s="8" t="s">
        <v>69</v>
      </c>
      <c r="C50" s="7" t="s">
        <v>66</v>
      </c>
      <c r="D50" s="9" t="n">
        <v>45</v>
      </c>
      <c r="E50" s="10" t="n">
        <f aca="false">D50/$I$1</f>
        <v>14.7540983606557</v>
      </c>
      <c r="F50" s="11"/>
    </row>
    <row r="51" customFormat="false" ht="15" hidden="false" customHeight="false" outlineLevel="0" collapsed="false">
      <c r="A51" s="12" t="n">
        <v>44</v>
      </c>
      <c r="B51" s="13" t="s">
        <v>70</v>
      </c>
      <c r="C51" s="12" t="s">
        <v>66</v>
      </c>
      <c r="D51" s="14" t="n">
        <v>150</v>
      </c>
      <c r="E51" s="15" t="n">
        <f aca="false">D51/$I$1</f>
        <v>49.1803278688525</v>
      </c>
      <c r="F51" s="16"/>
    </row>
    <row r="52" customFormat="false" ht="15" hidden="false" customHeight="false" outlineLevel="0" collapsed="false">
      <c r="A52" s="7" t="n">
        <v>45</v>
      </c>
      <c r="B52" s="8" t="s">
        <v>71</v>
      </c>
      <c r="C52" s="7" t="s">
        <v>66</v>
      </c>
      <c r="D52" s="9" t="n">
        <v>30</v>
      </c>
      <c r="E52" s="10" t="n">
        <f aca="false">D52/$I$1</f>
        <v>9.83606557377049</v>
      </c>
      <c r="F52" s="11"/>
    </row>
    <row r="53" customFormat="false" ht="27.75" hidden="false" customHeight="true" outlineLevel="0" collapsed="false">
      <c r="A53" s="6" t="s">
        <v>72</v>
      </c>
      <c r="B53" s="6"/>
      <c r="C53" s="6"/>
      <c r="D53" s="6"/>
      <c r="E53" s="6"/>
      <c r="F53" s="6"/>
    </row>
    <row r="54" customFormat="false" ht="15" hidden="false" customHeight="false" outlineLevel="0" collapsed="false">
      <c r="A54" s="12" t="n">
        <v>46</v>
      </c>
      <c r="B54" s="13" t="s">
        <v>73</v>
      </c>
      <c r="C54" s="12" t="s">
        <v>66</v>
      </c>
      <c r="D54" s="14" t="n">
        <v>120</v>
      </c>
      <c r="E54" s="15" t="n">
        <f aca="false">D54/$I$1</f>
        <v>39.344262295082</v>
      </c>
      <c r="F54" s="16" t="s">
        <v>74</v>
      </c>
    </row>
    <row r="55" customFormat="false" ht="15" hidden="false" customHeight="false" outlineLevel="0" collapsed="false">
      <c r="A55" s="7" t="n">
        <v>47</v>
      </c>
      <c r="B55" s="8" t="s">
        <v>75</v>
      </c>
      <c r="C55" s="7" t="s">
        <v>66</v>
      </c>
      <c r="D55" s="9" t="n">
        <v>180</v>
      </c>
      <c r="E55" s="10" t="n">
        <f aca="false">D55/$I$1</f>
        <v>59.016393442623</v>
      </c>
      <c r="F55" s="11" t="s">
        <v>74</v>
      </c>
    </row>
    <row r="56" customFormat="false" ht="15" hidden="false" customHeight="false" outlineLevel="0" collapsed="false">
      <c r="A56" s="12" t="n">
        <v>48</v>
      </c>
      <c r="B56" s="13" t="s">
        <v>76</v>
      </c>
      <c r="C56" s="12" t="s">
        <v>66</v>
      </c>
      <c r="D56" s="14" t="n">
        <v>90</v>
      </c>
      <c r="E56" s="15" t="n">
        <f aca="false">D56/$I$1</f>
        <v>29.5081967213115</v>
      </c>
      <c r="F56" s="16" t="s">
        <v>74</v>
      </c>
    </row>
    <row r="57" customFormat="false" ht="15" hidden="false" customHeight="false" outlineLevel="0" collapsed="false">
      <c r="A57" s="7" t="n">
        <v>49</v>
      </c>
      <c r="B57" s="8" t="s">
        <v>77</v>
      </c>
      <c r="C57" s="7" t="s">
        <v>66</v>
      </c>
      <c r="D57" s="9" t="n">
        <v>60</v>
      </c>
      <c r="E57" s="10" t="n">
        <f aca="false">D57/$I$1</f>
        <v>19.672131147541</v>
      </c>
      <c r="F57" s="11" t="s">
        <v>74</v>
      </c>
    </row>
    <row r="58" customFormat="false" ht="15" hidden="false" customHeight="false" outlineLevel="0" collapsed="false">
      <c r="A58" s="12" t="n">
        <v>50</v>
      </c>
      <c r="B58" s="13" t="s">
        <v>78</v>
      </c>
      <c r="C58" s="12" t="s">
        <v>66</v>
      </c>
      <c r="D58" s="14" t="n">
        <v>30</v>
      </c>
      <c r="E58" s="15" t="n">
        <f aca="false">D58/$I$1</f>
        <v>9.83606557377049</v>
      </c>
      <c r="F58" s="16"/>
    </row>
    <row r="59" customFormat="false" ht="15" hidden="false" customHeight="false" outlineLevel="0" collapsed="false">
      <c r="A59" s="7" t="n">
        <v>51</v>
      </c>
      <c r="B59" s="8" t="s">
        <v>79</v>
      </c>
      <c r="C59" s="7" t="s">
        <v>66</v>
      </c>
      <c r="D59" s="9" t="n">
        <v>60</v>
      </c>
      <c r="E59" s="10" t="n">
        <f aca="false">D59/$I$1</f>
        <v>19.672131147541</v>
      </c>
      <c r="F59" s="11"/>
    </row>
    <row r="60" customFormat="false" ht="15" hidden="false" customHeight="false" outlineLevel="0" collapsed="false">
      <c r="A60" s="12" t="n">
        <v>52</v>
      </c>
      <c r="B60" s="13" t="s">
        <v>80</v>
      </c>
      <c r="C60" s="12" t="s">
        <v>23</v>
      </c>
      <c r="D60" s="14" t="n">
        <v>30</v>
      </c>
      <c r="E60" s="15" t="n">
        <f aca="false">D60/$I$1</f>
        <v>9.83606557377049</v>
      </c>
      <c r="F60" s="16" t="s">
        <v>81</v>
      </c>
    </row>
    <row r="61" customFormat="false" ht="15" hidden="false" customHeight="false" outlineLevel="0" collapsed="false">
      <c r="A61" s="7" t="n">
        <v>53</v>
      </c>
      <c r="B61" s="8" t="s">
        <v>82</v>
      </c>
      <c r="C61" s="7" t="s">
        <v>23</v>
      </c>
      <c r="D61" s="9" t="n">
        <v>24</v>
      </c>
      <c r="E61" s="10" t="n">
        <f aca="false">D61/$I$1</f>
        <v>7.86885245901639</v>
      </c>
      <c r="F61" s="11"/>
    </row>
    <row r="62" customFormat="false" ht="27.75" hidden="false" customHeight="true" outlineLevel="0" collapsed="false">
      <c r="A62" s="6" t="s">
        <v>83</v>
      </c>
      <c r="B62" s="6"/>
      <c r="C62" s="6"/>
      <c r="D62" s="6"/>
      <c r="E62" s="6"/>
      <c r="F62" s="6"/>
    </row>
    <row r="63" customFormat="false" ht="15" hidden="false" customHeight="false" outlineLevel="0" collapsed="false">
      <c r="A63" s="12" t="n">
        <v>54</v>
      </c>
      <c r="B63" s="13" t="s">
        <v>84</v>
      </c>
      <c r="C63" s="12" t="s">
        <v>66</v>
      </c>
      <c r="D63" s="14" t="n">
        <v>90</v>
      </c>
      <c r="E63" s="15" t="n">
        <f aca="false">D63/$I$1</f>
        <v>29.5081967213115</v>
      </c>
      <c r="F63" s="16" t="s">
        <v>85</v>
      </c>
    </row>
    <row r="64" customFormat="false" ht="15" hidden="false" customHeight="false" outlineLevel="0" collapsed="false">
      <c r="A64" s="7" t="n">
        <v>55</v>
      </c>
      <c r="B64" s="8" t="s">
        <v>86</v>
      </c>
      <c r="C64" s="7" t="s">
        <v>66</v>
      </c>
      <c r="D64" s="9" t="n">
        <v>150</v>
      </c>
      <c r="E64" s="10" t="n">
        <f aca="false">D64/$I$1</f>
        <v>49.1803278688525</v>
      </c>
      <c r="F64" s="11"/>
    </row>
    <row r="65" customFormat="false" ht="15" hidden="false" customHeight="false" outlineLevel="0" collapsed="false">
      <c r="A65" s="12" t="n">
        <v>56</v>
      </c>
      <c r="B65" s="13" t="s">
        <v>87</v>
      </c>
      <c r="C65" s="12" t="s">
        <v>23</v>
      </c>
      <c r="D65" s="14" t="n">
        <v>24</v>
      </c>
      <c r="E65" s="15" t="n">
        <f aca="false">D65/$I$1</f>
        <v>7.86885245901639</v>
      </c>
      <c r="F65" s="16"/>
    </row>
    <row r="66" customFormat="false" ht="15" hidden="false" customHeight="false" outlineLevel="0" collapsed="false">
      <c r="A66" s="7" t="n">
        <v>57</v>
      </c>
      <c r="B66" s="8" t="s">
        <v>88</v>
      </c>
      <c r="C66" s="7" t="s">
        <v>23</v>
      </c>
      <c r="D66" s="9" t="n">
        <v>18</v>
      </c>
      <c r="E66" s="10" t="n">
        <f aca="false">D66/$I$1</f>
        <v>5.9016393442623</v>
      </c>
      <c r="F66" s="11"/>
    </row>
    <row r="67" customFormat="false" ht="15" hidden="false" customHeight="false" outlineLevel="0" collapsed="false">
      <c r="A67" s="12" t="n">
        <v>58</v>
      </c>
      <c r="B67" s="13" t="s">
        <v>89</v>
      </c>
      <c r="C67" s="12" t="s">
        <v>66</v>
      </c>
      <c r="D67" s="14" t="n">
        <v>45</v>
      </c>
      <c r="E67" s="15" t="n">
        <f aca="false">D67/$I$1</f>
        <v>14.7540983606557</v>
      </c>
      <c r="F67" s="16"/>
    </row>
    <row r="68" customFormat="false" ht="27.75" hidden="false" customHeight="true" outlineLevel="0" collapsed="false">
      <c r="A68" s="6" t="s">
        <v>90</v>
      </c>
      <c r="B68" s="6"/>
      <c r="C68" s="6"/>
      <c r="D68" s="6"/>
      <c r="E68" s="6"/>
      <c r="F68" s="6"/>
    </row>
    <row r="69" customFormat="false" ht="15" hidden="false" customHeight="false" outlineLevel="0" collapsed="false">
      <c r="A69" s="7" t="n">
        <v>59</v>
      </c>
      <c r="B69" s="8" t="s">
        <v>91</v>
      </c>
      <c r="C69" s="7" t="s">
        <v>92</v>
      </c>
      <c r="D69" s="9" t="n">
        <v>3</v>
      </c>
      <c r="E69" s="10" t="n">
        <f aca="false">D69/$I$1</f>
        <v>0.983606557377049</v>
      </c>
      <c r="F69" s="11"/>
    </row>
    <row r="70" customFormat="false" ht="15" hidden="false" customHeight="false" outlineLevel="0" collapsed="false">
      <c r="A70" s="12" t="n">
        <v>60</v>
      </c>
      <c r="B70" s="13" t="s">
        <v>93</v>
      </c>
      <c r="C70" s="12" t="s">
        <v>11</v>
      </c>
      <c r="D70" s="14" t="n">
        <v>6</v>
      </c>
      <c r="E70" s="15" t="n">
        <f aca="false">D70/$I$1</f>
        <v>1.9672131147541</v>
      </c>
      <c r="F70" s="16"/>
    </row>
    <row r="71" customFormat="false" ht="15" hidden="false" customHeight="false" outlineLevel="0" collapsed="false">
      <c r="A71" s="7" t="n">
        <v>61</v>
      </c>
      <c r="B71" s="8" t="s">
        <v>94</v>
      </c>
      <c r="C71" s="7" t="s">
        <v>95</v>
      </c>
      <c r="D71" s="9" t="n">
        <v>3</v>
      </c>
      <c r="E71" s="10" t="n">
        <f aca="false">D71/$I$1</f>
        <v>0.983606557377049</v>
      </c>
      <c r="F71" s="11" t="s">
        <v>96</v>
      </c>
    </row>
  </sheetData>
  <mergeCells count="9">
    <mergeCell ref="A1:F1"/>
    <mergeCell ref="A2:F2"/>
    <mergeCell ref="A4:F4"/>
    <mergeCell ref="A19:F19"/>
    <mergeCell ref="A37:F37"/>
    <mergeCell ref="A45:F45"/>
    <mergeCell ref="A53:F53"/>
    <mergeCell ref="A62:F62"/>
    <mergeCell ref="A68:F6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50"/>
    <col collapsed="false" customWidth="true" hidden="false" outlineLevel="0" max="3" min="3" style="0" width="12"/>
    <col collapsed="false" customWidth="true" hidden="false" outlineLevel="0" max="5" min="4" style="0" width="18"/>
    <col collapsed="false" customWidth="true" hidden="false" outlineLevel="0" max="6" min="6" style="0" width="25"/>
  </cols>
  <sheetData>
    <row r="1" customFormat="false" ht="39.75" hidden="false" customHeight="true" outlineLevel="0" collapsed="false">
      <c r="A1" s="1" t="s">
        <v>97</v>
      </c>
      <c r="B1" s="1"/>
      <c r="C1" s="1"/>
      <c r="D1" s="1"/>
      <c r="E1" s="1"/>
      <c r="F1" s="1"/>
    </row>
    <row r="2" customFormat="false" ht="15" hidden="false" customHeight="true" outlineLevel="0" collapsed="false">
      <c r="A2" s="4" t="s">
        <v>98</v>
      </c>
      <c r="B2" s="4"/>
      <c r="C2" s="4"/>
      <c r="D2" s="4"/>
      <c r="E2" s="4"/>
      <c r="F2" s="4"/>
    </row>
    <row r="3" customFormat="false" ht="15" hidden="false" customHeight="false" outlineLevel="0" collapsed="false">
      <c r="A3" s="5" t="s">
        <v>3</v>
      </c>
      <c r="B3" s="5" t="s">
        <v>4</v>
      </c>
      <c r="C3" s="5" t="s">
        <v>5</v>
      </c>
      <c r="D3" s="5" t="s">
        <v>6</v>
      </c>
      <c r="E3" s="5" t="s">
        <v>7</v>
      </c>
      <c r="F3" s="5" t="s">
        <v>8</v>
      </c>
    </row>
    <row r="4" customFormat="false" ht="27.75" hidden="false" customHeight="true" outlineLevel="0" collapsed="false">
      <c r="A4" s="6" t="s">
        <v>99</v>
      </c>
      <c r="B4" s="6"/>
      <c r="C4" s="6"/>
      <c r="D4" s="6"/>
      <c r="E4" s="6"/>
      <c r="F4" s="6"/>
    </row>
    <row r="5" customFormat="false" ht="15" hidden="false" customHeight="false" outlineLevel="0" collapsed="false">
      <c r="A5" s="7" t="n">
        <v>1</v>
      </c>
      <c r="B5" s="8" t="s">
        <v>100</v>
      </c>
      <c r="C5" s="7" t="s">
        <v>101</v>
      </c>
      <c r="D5" s="9" t="n">
        <v>30</v>
      </c>
      <c r="E5" s="10" t="n">
        <f aca="false">D5/'Ремонт квартир'!$I$1</f>
        <v>9.83606557377049</v>
      </c>
      <c r="F5" s="11"/>
    </row>
    <row r="6" customFormat="false" ht="15" hidden="false" customHeight="false" outlineLevel="0" collapsed="false">
      <c r="A6" s="12" t="n">
        <v>2</v>
      </c>
      <c r="B6" s="13" t="s">
        <v>102</v>
      </c>
      <c r="C6" s="12" t="s">
        <v>23</v>
      </c>
      <c r="D6" s="14" t="n">
        <v>90</v>
      </c>
      <c r="E6" s="15" t="n">
        <f aca="false">D6/'Ремонт квартир'!$I$1</f>
        <v>29.5081967213115</v>
      </c>
      <c r="F6" s="16" t="s">
        <v>103</v>
      </c>
    </row>
    <row r="7" customFormat="false" ht="15" hidden="false" customHeight="false" outlineLevel="0" collapsed="false">
      <c r="A7" s="7" t="n">
        <v>3</v>
      </c>
      <c r="B7" s="8" t="s">
        <v>104</v>
      </c>
      <c r="C7" s="7" t="s">
        <v>11</v>
      </c>
      <c r="D7" s="9" t="n">
        <v>60</v>
      </c>
      <c r="E7" s="10" t="n">
        <f aca="false">D7/'Ремонт квартир'!$I$1</f>
        <v>19.672131147541</v>
      </c>
      <c r="F7" s="11" t="s">
        <v>105</v>
      </c>
    </row>
    <row r="8" customFormat="false" ht="15" hidden="false" customHeight="false" outlineLevel="0" collapsed="false">
      <c r="A8" s="12" t="n">
        <v>4</v>
      </c>
      <c r="B8" s="13" t="s">
        <v>106</v>
      </c>
      <c r="C8" s="12" t="s">
        <v>66</v>
      </c>
      <c r="D8" s="14" t="n">
        <v>120</v>
      </c>
      <c r="E8" s="15" t="n">
        <f aca="false">D8/'Ремонт квартир'!$I$1</f>
        <v>39.344262295082</v>
      </c>
      <c r="F8" s="16" t="s">
        <v>107</v>
      </c>
    </row>
    <row r="9" customFormat="false" ht="15" hidden="false" customHeight="false" outlineLevel="0" collapsed="false">
      <c r="A9" s="7" t="n">
        <v>5</v>
      </c>
      <c r="B9" s="8" t="s">
        <v>108</v>
      </c>
      <c r="C9" s="7" t="s">
        <v>11</v>
      </c>
      <c r="D9" s="9" t="n">
        <v>12</v>
      </c>
      <c r="E9" s="10" t="n">
        <f aca="false">D9/'Ремонт квартир'!$I$1</f>
        <v>3.9344262295082</v>
      </c>
      <c r="F9" s="11"/>
    </row>
    <row r="10" customFormat="false" ht="15" hidden="false" customHeight="false" outlineLevel="0" collapsed="false">
      <c r="A10" s="12" t="n">
        <v>6</v>
      </c>
      <c r="B10" s="13" t="s">
        <v>109</v>
      </c>
      <c r="C10" s="12" t="s">
        <v>11</v>
      </c>
      <c r="D10" s="14" t="n">
        <v>18</v>
      </c>
      <c r="E10" s="15" t="n">
        <f aca="false">D10/'Ремонт квартир'!$I$1</f>
        <v>5.9016393442623</v>
      </c>
      <c r="F10" s="16" t="s">
        <v>110</v>
      </c>
    </row>
    <row r="11" customFormat="false" ht="15" hidden="false" customHeight="false" outlineLevel="0" collapsed="false">
      <c r="A11" s="7" t="n">
        <v>7</v>
      </c>
      <c r="B11" s="8" t="s">
        <v>111</v>
      </c>
      <c r="C11" s="7" t="s">
        <v>101</v>
      </c>
      <c r="D11" s="9" t="n">
        <v>12</v>
      </c>
      <c r="E11" s="10" t="n">
        <f aca="false">D11/'Ремонт квартир'!$I$1</f>
        <v>3.9344262295082</v>
      </c>
      <c r="F11" s="11"/>
    </row>
    <row r="12" customFormat="false" ht="27.75" hidden="false" customHeight="true" outlineLevel="0" collapsed="false">
      <c r="A12" s="6" t="s">
        <v>112</v>
      </c>
      <c r="B12" s="6"/>
      <c r="C12" s="6"/>
      <c r="D12" s="6"/>
      <c r="E12" s="6"/>
      <c r="F12" s="6"/>
    </row>
    <row r="13" customFormat="false" ht="15" hidden="false" customHeight="false" outlineLevel="0" collapsed="false">
      <c r="A13" s="12" t="n">
        <v>8</v>
      </c>
      <c r="B13" s="13" t="s">
        <v>113</v>
      </c>
      <c r="C13" s="12" t="s">
        <v>101</v>
      </c>
      <c r="D13" s="14" t="n">
        <v>60</v>
      </c>
      <c r="E13" s="15" t="n">
        <f aca="false">D13/'Ремонт квартир'!$I$1</f>
        <v>19.672131147541</v>
      </c>
      <c r="F13" s="16"/>
    </row>
    <row r="14" customFormat="false" ht="15" hidden="false" customHeight="false" outlineLevel="0" collapsed="false">
      <c r="A14" s="7" t="n">
        <v>9</v>
      </c>
      <c r="B14" s="8" t="s">
        <v>114</v>
      </c>
      <c r="C14" s="7" t="s">
        <v>101</v>
      </c>
      <c r="D14" s="9" t="n">
        <v>66</v>
      </c>
      <c r="E14" s="10" t="n">
        <f aca="false">D14/'Ремонт квартир'!$I$1</f>
        <v>21.6393442622951</v>
      </c>
      <c r="F14" s="11"/>
    </row>
    <row r="15" customFormat="false" ht="15" hidden="false" customHeight="false" outlineLevel="0" collapsed="false">
      <c r="A15" s="12" t="n">
        <v>10</v>
      </c>
      <c r="B15" s="13" t="s">
        <v>115</v>
      </c>
      <c r="C15" s="12" t="s">
        <v>101</v>
      </c>
      <c r="D15" s="14" t="n">
        <v>90</v>
      </c>
      <c r="E15" s="15" t="n">
        <f aca="false">D15/'Ремонт квартир'!$I$1</f>
        <v>29.5081967213115</v>
      </c>
      <c r="F15" s="16"/>
    </row>
    <row r="16" customFormat="false" ht="15" hidden="false" customHeight="false" outlineLevel="0" collapsed="false">
      <c r="A16" s="7" t="n">
        <v>11</v>
      </c>
      <c r="B16" s="8" t="s">
        <v>116</v>
      </c>
      <c r="C16" s="7" t="s">
        <v>23</v>
      </c>
      <c r="D16" s="9" t="n">
        <v>45</v>
      </c>
      <c r="E16" s="10" t="n">
        <f aca="false">D16/'Ремонт квартир'!$I$1</f>
        <v>14.7540983606557</v>
      </c>
      <c r="F16" s="11"/>
    </row>
    <row r="17" customFormat="false" ht="15" hidden="false" customHeight="false" outlineLevel="0" collapsed="false">
      <c r="A17" s="12" t="n">
        <v>12</v>
      </c>
      <c r="B17" s="13" t="s">
        <v>117</v>
      </c>
      <c r="C17" s="12" t="s">
        <v>66</v>
      </c>
      <c r="D17" s="14" t="n">
        <v>30</v>
      </c>
      <c r="E17" s="15" t="n">
        <f aca="false">D17/'Ремонт квартир'!$I$1</f>
        <v>9.83606557377049</v>
      </c>
      <c r="F17" s="16"/>
    </row>
    <row r="18" customFormat="false" ht="15" hidden="false" customHeight="false" outlineLevel="0" collapsed="false">
      <c r="A18" s="7" t="n">
        <v>13</v>
      </c>
      <c r="B18" s="8" t="s">
        <v>118</v>
      </c>
      <c r="C18" s="7" t="s">
        <v>11</v>
      </c>
      <c r="D18" s="9" t="n">
        <v>24</v>
      </c>
      <c r="E18" s="10" t="n">
        <f aca="false">D18/'Ремонт квартир'!$I$1</f>
        <v>7.86885245901639</v>
      </c>
      <c r="F18" s="11" t="s">
        <v>119</v>
      </c>
    </row>
    <row r="19" customFormat="false" ht="27.75" hidden="false" customHeight="true" outlineLevel="0" collapsed="false">
      <c r="A19" s="6" t="s">
        <v>120</v>
      </c>
      <c r="B19" s="6"/>
      <c r="C19" s="6"/>
      <c r="D19" s="6"/>
      <c r="E19" s="6"/>
      <c r="F19" s="6"/>
    </row>
    <row r="20" customFormat="false" ht="15" hidden="false" customHeight="false" outlineLevel="0" collapsed="false">
      <c r="A20" s="12" t="n">
        <v>14</v>
      </c>
      <c r="B20" s="13" t="s">
        <v>121</v>
      </c>
      <c r="C20" s="12" t="s">
        <v>11</v>
      </c>
      <c r="D20" s="14" t="n">
        <v>30</v>
      </c>
      <c r="E20" s="15" t="n">
        <f aca="false">D20/'Ремонт квартир'!$I$1</f>
        <v>9.83606557377049</v>
      </c>
      <c r="F20" s="16"/>
    </row>
    <row r="21" customFormat="false" ht="15" hidden="false" customHeight="false" outlineLevel="0" collapsed="false">
      <c r="A21" s="7" t="n">
        <v>15</v>
      </c>
      <c r="B21" s="8" t="s">
        <v>122</v>
      </c>
      <c r="C21" s="7" t="s">
        <v>11</v>
      </c>
      <c r="D21" s="9" t="n">
        <v>12</v>
      </c>
      <c r="E21" s="10" t="n">
        <f aca="false">D21/'Ремонт квартир'!$I$1</f>
        <v>3.9344262295082</v>
      </c>
      <c r="F21" s="11"/>
    </row>
    <row r="22" customFormat="false" ht="15" hidden="false" customHeight="false" outlineLevel="0" collapsed="false">
      <c r="A22" s="12" t="n">
        <v>16</v>
      </c>
      <c r="B22" s="13" t="s">
        <v>123</v>
      </c>
      <c r="C22" s="12" t="s">
        <v>11</v>
      </c>
      <c r="D22" s="14" t="n">
        <v>18</v>
      </c>
      <c r="E22" s="15" t="n">
        <f aca="false">D22/'Ремонт квартир'!$I$1</f>
        <v>5.9016393442623</v>
      </c>
      <c r="F22" s="16"/>
    </row>
    <row r="23" customFormat="false" ht="15" hidden="false" customHeight="false" outlineLevel="0" collapsed="false">
      <c r="A23" s="7" t="n">
        <v>17</v>
      </c>
      <c r="B23" s="8" t="s">
        <v>124</v>
      </c>
      <c r="C23" s="7" t="s">
        <v>11</v>
      </c>
      <c r="D23" s="9" t="n">
        <v>21</v>
      </c>
      <c r="E23" s="10" t="n">
        <f aca="false">D23/'Ремонт квартир'!$I$1</f>
        <v>6.88524590163935</v>
      </c>
      <c r="F23" s="11"/>
    </row>
    <row r="24" customFormat="false" ht="15" hidden="false" customHeight="false" outlineLevel="0" collapsed="false">
      <c r="A24" s="12" t="n">
        <v>18</v>
      </c>
      <c r="B24" s="13" t="s">
        <v>125</v>
      </c>
      <c r="C24" s="12" t="s">
        <v>11</v>
      </c>
      <c r="D24" s="14" t="n">
        <v>18</v>
      </c>
      <c r="E24" s="15" t="n">
        <f aca="false">D24/'Ремонт квартир'!$I$1</f>
        <v>5.9016393442623</v>
      </c>
      <c r="F24" s="16" t="s">
        <v>126</v>
      </c>
    </row>
    <row r="25" customFormat="false" ht="15" hidden="false" customHeight="false" outlineLevel="0" collapsed="false">
      <c r="A25" s="7" t="n">
        <v>19</v>
      </c>
      <c r="B25" s="8" t="s">
        <v>127</v>
      </c>
      <c r="C25" s="7" t="s">
        <v>23</v>
      </c>
      <c r="D25" s="9" t="n">
        <v>18</v>
      </c>
      <c r="E25" s="10" t="n">
        <f aca="false">D25/'Ремонт квартир'!$I$1</f>
        <v>5.9016393442623</v>
      </c>
      <c r="F25" s="11"/>
    </row>
    <row r="26" customFormat="false" ht="15" hidden="false" customHeight="false" outlineLevel="0" collapsed="false">
      <c r="A26" s="12" t="n">
        <v>20</v>
      </c>
      <c r="B26" s="13" t="s">
        <v>128</v>
      </c>
      <c r="C26" s="12" t="s">
        <v>23</v>
      </c>
      <c r="D26" s="14" t="n">
        <v>15</v>
      </c>
      <c r="E26" s="15" t="n">
        <f aca="false">D26/'Ремонт квартир'!$I$1</f>
        <v>4.91803278688525</v>
      </c>
      <c r="F26" s="16"/>
    </row>
    <row r="27" customFormat="false" ht="27.75" hidden="false" customHeight="true" outlineLevel="0" collapsed="false">
      <c r="A27" s="6" t="s">
        <v>129</v>
      </c>
      <c r="B27" s="6"/>
      <c r="C27" s="6"/>
      <c r="D27" s="6"/>
      <c r="E27" s="6"/>
      <c r="F27" s="6"/>
    </row>
    <row r="28" customFormat="false" ht="15" hidden="false" customHeight="false" outlineLevel="0" collapsed="false">
      <c r="A28" s="7" t="n">
        <v>21</v>
      </c>
      <c r="B28" s="8" t="s">
        <v>130</v>
      </c>
      <c r="C28" s="7" t="s">
        <v>11</v>
      </c>
      <c r="D28" s="9" t="n">
        <v>24</v>
      </c>
      <c r="E28" s="10" t="n">
        <f aca="false">D28/'Ремонт квартир'!$I$1</f>
        <v>7.86885245901639</v>
      </c>
      <c r="F28" s="11"/>
    </row>
    <row r="29" customFormat="false" ht="15" hidden="false" customHeight="false" outlineLevel="0" collapsed="false">
      <c r="A29" s="12" t="n">
        <v>22</v>
      </c>
      <c r="B29" s="13" t="s">
        <v>131</v>
      </c>
      <c r="C29" s="12" t="s">
        <v>66</v>
      </c>
      <c r="D29" s="14" t="n">
        <v>120</v>
      </c>
      <c r="E29" s="15" t="n">
        <f aca="false">D29/'Ремонт квартир'!$I$1</f>
        <v>39.344262295082</v>
      </c>
      <c r="F29" s="16" t="s">
        <v>132</v>
      </c>
    </row>
    <row r="30" customFormat="false" ht="15" hidden="false" customHeight="false" outlineLevel="0" collapsed="false">
      <c r="A30" s="7" t="n">
        <v>23</v>
      </c>
      <c r="B30" s="8" t="s">
        <v>133</v>
      </c>
      <c r="C30" s="7" t="s">
        <v>11</v>
      </c>
      <c r="D30" s="9" t="n">
        <v>60</v>
      </c>
      <c r="E30" s="10" t="n">
        <f aca="false">D30/'Ремонт квартир'!$I$1</f>
        <v>19.672131147541</v>
      </c>
      <c r="F30" s="11" t="s">
        <v>134</v>
      </c>
    </row>
    <row r="31" customFormat="false" ht="27.75" hidden="false" customHeight="true" outlineLevel="0" collapsed="false">
      <c r="A31" s="6" t="s">
        <v>135</v>
      </c>
      <c r="B31" s="6"/>
      <c r="C31" s="6"/>
      <c r="D31" s="6"/>
      <c r="E31" s="6"/>
      <c r="F31" s="6"/>
    </row>
    <row r="32" customFormat="false" ht="15" hidden="false" customHeight="false" outlineLevel="0" collapsed="false">
      <c r="A32" s="12" t="n">
        <v>24</v>
      </c>
      <c r="B32" s="13" t="s">
        <v>136</v>
      </c>
      <c r="C32" s="12" t="s">
        <v>11</v>
      </c>
      <c r="D32" s="14" t="n">
        <v>700</v>
      </c>
      <c r="E32" s="15" t="n">
        <f aca="false">D32/'Ремонт квартир'!$I$1</f>
        <v>229.508196721312</v>
      </c>
      <c r="F32" s="16" t="s">
        <v>137</v>
      </c>
    </row>
    <row r="33" customFormat="false" ht="15" hidden="false" customHeight="false" outlineLevel="0" collapsed="false">
      <c r="A33" s="7" t="n">
        <v>25</v>
      </c>
      <c r="B33" s="8" t="s">
        <v>138</v>
      </c>
      <c r="C33" s="7" t="s">
        <v>11</v>
      </c>
      <c r="D33" s="9" t="n">
        <v>950</v>
      </c>
      <c r="E33" s="10" t="n">
        <f aca="false">D33/'Ремонт квартир'!$I$1</f>
        <v>311.475409836066</v>
      </c>
      <c r="F33" s="11" t="s">
        <v>137</v>
      </c>
    </row>
    <row r="34" customFormat="false" ht="15" hidden="false" customHeight="false" outlineLevel="0" collapsed="false">
      <c r="A34" s="12" t="n">
        <v>26</v>
      </c>
      <c r="B34" s="13" t="s">
        <v>139</v>
      </c>
      <c r="C34" s="12" t="s">
        <v>11</v>
      </c>
      <c r="D34" s="14" t="n">
        <v>1800</v>
      </c>
      <c r="E34" s="15" t="n">
        <f aca="false">D34/'Ремонт квартир'!$I$1</f>
        <v>590.16393442623</v>
      </c>
      <c r="F34" s="16" t="s">
        <v>140</v>
      </c>
    </row>
    <row r="35" customFormat="false" ht="15" hidden="false" customHeight="false" outlineLevel="0" collapsed="false">
      <c r="A35" s="7" t="n">
        <v>27</v>
      </c>
      <c r="B35" s="8" t="s">
        <v>141</v>
      </c>
      <c r="C35" s="7" t="s">
        <v>11</v>
      </c>
      <c r="D35" s="9" t="n">
        <v>1200</v>
      </c>
      <c r="E35" s="10" t="n">
        <f aca="false">D35/'Ремонт квартир'!$I$1</f>
        <v>393.44262295082</v>
      </c>
      <c r="F35" s="11" t="s">
        <v>137</v>
      </c>
    </row>
    <row r="36" customFormat="false" ht="15" hidden="false" customHeight="false" outlineLevel="0" collapsed="false">
      <c r="A36" s="12" t="n">
        <v>28</v>
      </c>
      <c r="B36" s="13" t="s">
        <v>142</v>
      </c>
      <c r="C36" s="12" t="s">
        <v>11</v>
      </c>
      <c r="D36" s="14" t="n">
        <v>2400</v>
      </c>
      <c r="E36" s="15" t="n">
        <f aca="false">D36/'Ремонт квартир'!$I$1</f>
        <v>786.885245901639</v>
      </c>
      <c r="F36" s="16" t="s">
        <v>140</v>
      </c>
    </row>
  </sheetData>
  <mergeCells count="7">
    <mergeCell ref="A1:F1"/>
    <mergeCell ref="A2:F2"/>
    <mergeCell ref="A4:F4"/>
    <mergeCell ref="A12:F12"/>
    <mergeCell ref="A19:F19"/>
    <mergeCell ref="A27:F27"/>
    <mergeCell ref="A31:F3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40"/>
    <col collapsed="false" customWidth="true" hidden="false" outlineLevel="0" max="3" min="3" style="0" width="12"/>
    <col collapsed="false" customWidth="true" hidden="false" outlineLevel="0" max="5" min="4" style="0" width="15"/>
    <col collapsed="false" customWidth="true" hidden="false" outlineLevel="0" max="6" min="6" style="0" width="18"/>
  </cols>
  <sheetData>
    <row r="1" customFormat="false" ht="39.75" hidden="false" customHeight="true" outlineLevel="0" collapsed="false">
      <c r="A1" s="1" t="s">
        <v>143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17" t="s">
        <v>144</v>
      </c>
      <c r="B2" s="17"/>
      <c r="C2" s="17"/>
      <c r="D2" s="17"/>
      <c r="E2" s="17"/>
      <c r="F2" s="17"/>
    </row>
    <row r="4" customFormat="false" ht="15" hidden="false" customHeight="false" outlineLevel="0" collapsed="false">
      <c r="A4" s="18" t="s">
        <v>145</v>
      </c>
      <c r="B4" s="18"/>
      <c r="C4" s="18"/>
      <c r="D4" s="18"/>
      <c r="E4" s="18"/>
      <c r="F4" s="18"/>
    </row>
    <row r="5" customFormat="false" ht="15" hidden="false" customHeight="false" outlineLevel="0" collapsed="false">
      <c r="B5" s="19" t="s">
        <v>146</v>
      </c>
      <c r="D5" s="20" t="n">
        <v>45</v>
      </c>
    </row>
    <row r="6" customFormat="false" ht="15" hidden="false" customHeight="false" outlineLevel="0" collapsed="false">
      <c r="B6" s="19" t="s">
        <v>147</v>
      </c>
      <c r="D6" s="20" t="n">
        <v>2.7</v>
      </c>
    </row>
    <row r="7" customFormat="false" ht="15" hidden="false" customHeight="false" outlineLevel="0" collapsed="false">
      <c r="B7" s="19" t="s">
        <v>148</v>
      </c>
      <c r="D7" s="20" t="n">
        <v>2</v>
      </c>
    </row>
    <row r="8" customFormat="false" ht="15" hidden="false" customHeight="false" outlineLevel="0" collapsed="false">
      <c r="B8" s="19" t="s">
        <v>149</v>
      </c>
      <c r="D8" s="20" t="n">
        <v>1</v>
      </c>
    </row>
    <row r="10" customFormat="false" ht="15" hidden="false" customHeight="false" outlineLevel="0" collapsed="false">
      <c r="B10" s="21" t="s">
        <v>150</v>
      </c>
    </row>
    <row r="11" customFormat="false" ht="15" hidden="false" customHeight="false" outlineLevel="0" collapsed="false">
      <c r="B11" s="0" t="s">
        <v>151</v>
      </c>
      <c r="D11" s="22" t="n">
        <f aca="false">((D5^0.5)*4*2)*D6</f>
        <v>144.897204941986</v>
      </c>
    </row>
    <row r="12" customFormat="false" ht="15" hidden="false" customHeight="false" outlineLevel="0" collapsed="false">
      <c r="B12" s="0" t="s">
        <v>152</v>
      </c>
      <c r="D12" s="22" t="n">
        <f aca="false">D5</f>
        <v>45</v>
      </c>
    </row>
    <row r="13" customFormat="false" ht="15" hidden="false" customHeight="false" outlineLevel="0" collapsed="false">
      <c r="B13" s="0" t="s">
        <v>153</v>
      </c>
      <c r="D13" s="22" t="n">
        <f aca="false">D5</f>
        <v>45</v>
      </c>
    </row>
    <row r="15" customFormat="false" ht="15" hidden="false" customHeight="false" outlineLevel="0" collapsed="false">
      <c r="A15" s="5" t="s">
        <v>3</v>
      </c>
      <c r="B15" s="5" t="s">
        <v>154</v>
      </c>
      <c r="C15" s="5" t="s">
        <v>155</v>
      </c>
      <c r="D15" s="5" t="s">
        <v>156</v>
      </c>
      <c r="E15" s="5" t="s">
        <v>157</v>
      </c>
      <c r="F15" s="5" t="s">
        <v>158</v>
      </c>
    </row>
    <row r="16" customFormat="false" ht="15" hidden="false" customHeight="false" outlineLevel="0" collapsed="false">
      <c r="A16" s="12" t="n">
        <v>1</v>
      </c>
      <c r="B16" s="23" t="s">
        <v>33</v>
      </c>
      <c r="C16" s="24" t="n">
        <f aca="false">D11</f>
        <v>144.897204941986</v>
      </c>
      <c r="D16" s="14" t="n">
        <v>18</v>
      </c>
      <c r="E16" s="15" t="n">
        <f aca="false">C16*D16</f>
        <v>2608.14968895575</v>
      </c>
      <c r="F16" s="15" t="n">
        <f aca="false">E16/'Ремонт квартир'!$I$1</f>
        <v>855.131045559264</v>
      </c>
    </row>
    <row r="17" customFormat="false" ht="15" hidden="false" customHeight="false" outlineLevel="0" collapsed="false">
      <c r="A17" s="7" t="n">
        <v>2</v>
      </c>
      <c r="B17" s="25" t="s">
        <v>159</v>
      </c>
      <c r="C17" s="26" t="n">
        <f aca="false">D11</f>
        <v>144.897204941986</v>
      </c>
      <c r="D17" s="9" t="n">
        <v>12</v>
      </c>
      <c r="E17" s="10" t="n">
        <f aca="false">C17*D17</f>
        <v>1738.76645930384</v>
      </c>
      <c r="F17" s="10" t="n">
        <f aca="false">E17/'Ремонт квартир'!$I$1</f>
        <v>570.087363706176</v>
      </c>
    </row>
    <row r="18" customFormat="false" ht="15" hidden="false" customHeight="false" outlineLevel="0" collapsed="false">
      <c r="A18" s="12" t="n">
        <v>3</v>
      </c>
      <c r="B18" s="23" t="s">
        <v>38</v>
      </c>
      <c r="C18" s="24" t="n">
        <f aca="false">D11</f>
        <v>144.897204941986</v>
      </c>
      <c r="D18" s="14" t="n">
        <v>9</v>
      </c>
      <c r="E18" s="15" t="n">
        <f aca="false">C18*D18</f>
        <v>1304.07484447788</v>
      </c>
      <c r="F18" s="15" t="n">
        <f aca="false">E18/'Ремонт квартир'!$I$1</f>
        <v>427.565522779632</v>
      </c>
    </row>
    <row r="19" customFormat="false" ht="15" hidden="false" customHeight="false" outlineLevel="0" collapsed="false">
      <c r="A19" s="7" t="n">
        <v>4</v>
      </c>
      <c r="B19" s="25" t="s">
        <v>10</v>
      </c>
      <c r="C19" s="26" t="n">
        <f aca="false">D13</f>
        <v>45</v>
      </c>
      <c r="D19" s="9" t="n">
        <v>18</v>
      </c>
      <c r="E19" s="10" t="n">
        <f aca="false">C19*D19</f>
        <v>810</v>
      </c>
      <c r="F19" s="10" t="n">
        <f aca="false">E19/'Ремонт квартир'!$I$1</f>
        <v>265.573770491803</v>
      </c>
    </row>
    <row r="20" customFormat="false" ht="15" hidden="false" customHeight="false" outlineLevel="0" collapsed="false">
      <c r="A20" s="12" t="n">
        <v>5</v>
      </c>
      <c r="B20" s="23" t="s">
        <v>14</v>
      </c>
      <c r="C20" s="24" t="n">
        <f aca="false">D13</f>
        <v>45</v>
      </c>
      <c r="D20" s="14" t="n">
        <v>7</v>
      </c>
      <c r="E20" s="15" t="n">
        <f aca="false">C20*D20</f>
        <v>315</v>
      </c>
      <c r="F20" s="15" t="n">
        <f aca="false">E20/'Ремонт квартир'!$I$1</f>
        <v>103.27868852459</v>
      </c>
    </row>
    <row r="21" customFormat="false" ht="15" hidden="false" customHeight="false" outlineLevel="0" collapsed="false">
      <c r="A21" s="7" t="n">
        <v>6</v>
      </c>
      <c r="B21" s="25" t="s">
        <v>160</v>
      </c>
      <c r="C21" s="26" t="n">
        <f aca="false">D12</f>
        <v>45</v>
      </c>
      <c r="D21" s="9" t="n">
        <v>15</v>
      </c>
      <c r="E21" s="10" t="n">
        <f aca="false">C21*D21</f>
        <v>675</v>
      </c>
      <c r="F21" s="10" t="n">
        <f aca="false">E21/'Ремонт квартир'!$I$1</f>
        <v>221.311475409836</v>
      </c>
    </row>
    <row r="22" customFormat="false" ht="15" hidden="false" customHeight="false" outlineLevel="0" collapsed="false">
      <c r="A22" s="12" t="n">
        <v>7</v>
      </c>
      <c r="B22" s="23" t="s">
        <v>161</v>
      </c>
      <c r="C22" s="24" t="n">
        <f aca="false">D12</f>
        <v>45</v>
      </c>
      <c r="D22" s="14" t="n">
        <v>9</v>
      </c>
      <c r="E22" s="15" t="n">
        <f aca="false">C22*D22</f>
        <v>405</v>
      </c>
      <c r="F22" s="15" t="n">
        <f aca="false">E22/'Ремонт квартир'!$I$1</f>
        <v>132.786885245902</v>
      </c>
    </row>
    <row r="23" customFormat="false" ht="15" hidden="false" customHeight="false" outlineLevel="0" collapsed="false">
      <c r="A23" s="7" t="n">
        <v>8</v>
      </c>
      <c r="B23" s="25" t="s">
        <v>162</v>
      </c>
      <c r="C23" s="26" t="n">
        <v>10</v>
      </c>
      <c r="D23" s="9" t="n">
        <v>30</v>
      </c>
      <c r="E23" s="10" t="n">
        <f aca="false">C23*D23</f>
        <v>300</v>
      </c>
      <c r="F23" s="10" t="n">
        <f aca="false">E23/'Ремонт квартир'!$I$1</f>
        <v>98.3606557377049</v>
      </c>
    </row>
    <row r="24" customFormat="false" ht="15" hidden="false" customHeight="false" outlineLevel="0" collapsed="false">
      <c r="A24" s="12" t="n">
        <v>9</v>
      </c>
      <c r="B24" s="23" t="s">
        <v>163</v>
      </c>
      <c r="C24" s="24" t="n">
        <v>1</v>
      </c>
      <c r="D24" s="14" t="n">
        <v>360</v>
      </c>
      <c r="E24" s="15" t="n">
        <f aca="false">C24*D24</f>
        <v>360</v>
      </c>
      <c r="F24" s="15" t="n">
        <f aca="false">E24/'Ремонт квартир'!$I$1</f>
        <v>118.032786885246</v>
      </c>
    </row>
    <row r="25" customFormat="false" ht="15" hidden="false" customHeight="false" outlineLevel="0" collapsed="false">
      <c r="A25" s="7" t="n">
        <v>10</v>
      </c>
      <c r="B25" s="25" t="s">
        <v>164</v>
      </c>
      <c r="C25" s="26" t="n">
        <f aca="false">D7</f>
        <v>2</v>
      </c>
      <c r="D25" s="9" t="n">
        <v>90</v>
      </c>
      <c r="E25" s="10" t="n">
        <f aca="false">C25*D25</f>
        <v>180</v>
      </c>
      <c r="F25" s="10" t="n">
        <f aca="false">E25/'Ремонт квартир'!$I$1</f>
        <v>59.016393442623</v>
      </c>
    </row>
    <row r="26" customFormat="false" ht="15" hidden="false" customHeight="false" outlineLevel="0" collapsed="false">
      <c r="A26" s="27" t="s">
        <v>165</v>
      </c>
      <c r="B26" s="27"/>
      <c r="C26" s="27"/>
      <c r="D26" s="27"/>
      <c r="E26" s="28" t="n">
        <f aca="false">SUM(E16:E25)</f>
        <v>8695.99099273747</v>
      </c>
      <c r="F26" s="28" t="n">
        <f aca="false">E26/'Ремонт квартир'!$I$1</f>
        <v>2851.14458778278</v>
      </c>
    </row>
    <row r="27" customFormat="false" ht="15" hidden="false" customHeight="false" outlineLevel="0" collapsed="false">
      <c r="B27" s="19" t="s">
        <v>166</v>
      </c>
      <c r="D27" s="29" t="n">
        <v>0.35</v>
      </c>
    </row>
    <row r="28" customFormat="false" ht="15" hidden="false" customHeight="false" outlineLevel="0" collapsed="false">
      <c r="A28" s="30" t="s">
        <v>167</v>
      </c>
      <c r="B28" s="30"/>
      <c r="C28" s="30"/>
      <c r="D28" s="30"/>
      <c r="E28" s="31" t="n">
        <f aca="false">E26*(1+D27)</f>
        <v>11739.5878401956</v>
      </c>
      <c r="F28" s="31" t="n">
        <f aca="false">E28/'Ремонт квартир'!$I$1</f>
        <v>3849.04519350675</v>
      </c>
    </row>
  </sheetData>
  <mergeCells count="5">
    <mergeCell ref="A1:F1"/>
    <mergeCell ref="A2:F2"/>
    <mergeCell ref="A4:F4"/>
    <mergeCell ref="A26:D26"/>
    <mergeCell ref="A28:D2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2026-03-10T06:16:27Z</dcterms:created>
  <dc:creator>openpyxl</dc:creator>
  <dc:description/>
  <dc:language>en-US</dc:language>
  <cp:lastModifiedBy/>
  <dcterms:modified xsi:type="dcterms:W3CDTF">2026-03-10T06:16:27Z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